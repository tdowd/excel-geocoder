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18195" windowHeight="7680"/>
  </bookViews>
  <sheets>
    <sheet name="Samples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2" i="1" l="1"/>
  <c r="B3" i="1"/>
  <c r="B7" i="1"/>
  <c r="B9" i="1"/>
  <c r="B4" i="1"/>
  <c r="B8" i="1"/>
  <c r="B5" i="1"/>
  <c r="B6" i="1"/>
  <c r="D5" i="1" l="1"/>
  <c r="C5" i="1"/>
  <c r="C2" i="1"/>
  <c r="D2" i="1"/>
  <c r="C9" i="1"/>
  <c r="D9" i="1"/>
  <c r="C3" i="1"/>
  <c r="D3" i="1"/>
  <c r="C8" i="1"/>
  <c r="D8" i="1"/>
  <c r="D7" i="1"/>
  <c r="C7" i="1"/>
  <c r="D6" i="1"/>
  <c r="C6" i="1"/>
  <c r="D4" i="1"/>
  <c r="C4" i="1"/>
  <c r="E2" i="1"/>
  <c r="E9" i="1"/>
  <c r="E8" i="1"/>
  <c r="E7" i="1"/>
  <c r="E4" i="1"/>
  <c r="E3" i="1"/>
  <c r="E5" i="1"/>
  <c r="E6" i="1"/>
</calcChain>
</file>

<file path=xl/sharedStrings.xml><?xml version="1.0" encoding="utf-8"?>
<sst xmlns="http://schemas.openxmlformats.org/spreadsheetml/2006/main" count="13" uniqueCount="13">
  <si>
    <t>Address Input</t>
  </si>
  <si>
    <t>Geocoder Results</t>
  </si>
  <si>
    <t>Latitude</t>
  </si>
  <si>
    <t>Longitude</t>
  </si>
  <si>
    <t>Reverse Geocode</t>
  </si>
  <si>
    <t>350 5th Ave, New York, NY 10118</t>
  </si>
  <si>
    <t>301 Front St W, Toronto, ON M5V 2T6, Canada</t>
  </si>
  <si>
    <t>233 S Wacker Drive, Chicago IL 60606</t>
  </si>
  <si>
    <t>Bennelong Point, Sydney NSW 2000, Australia</t>
  </si>
  <si>
    <t>400 Broad St, Seattle, WA 98109</t>
  </si>
  <si>
    <t>1 Garden Rd, Hong Kong</t>
  </si>
  <si>
    <t>Yanggakdo International Hotel, Pyongyang, North Korea</t>
  </si>
  <si>
    <t>AT&amp;T Stadium, Arlington, TX 76011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</si>
</sst>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tabSelected="1" workbookViewId="0">
      <selection activeCell="E2" sqref="E2"/>
    </sheetView>
  </sheetViews>
  <sheetFormatPr defaultRowHeight="15" x14ac:dyDescent="0.25"/>
  <cols>
    <col min="1" max="1" width="51.42578125" bestFit="1" customWidth="1"/>
    <col min="2" max="2" width="22.85546875" bestFit="1" customWidth="1"/>
    <col min="3" max="3" width="11" bestFit="1" customWidth="1"/>
    <col min="4" max="4" width="12.7109375" bestFit="1" customWidth="1"/>
    <col min="5" max="5" width="62.28515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tr">
        <f>AddressGeocode(A2)</f>
        <v>40.7487097,-73.9856556</v>
      </c>
      <c r="C2" t="str">
        <f>TRIM(LEFT(B2,FIND(",",B2)-1))</f>
        <v>40.7487097</v>
      </c>
      <c r="D2" t="str">
        <f>TRIM(RIGHT(B2,LEN(B2)-FIND(",",B2)))</f>
        <v>-73.9856556</v>
      </c>
      <c r="E2" t="str">
        <f>ReverseGeocode(C2, D2)</f>
        <v>350 5th Ave, New York, NY 10118, USA</v>
      </c>
    </row>
    <row r="3" spans="1:5" x14ac:dyDescent="0.25">
      <c r="A3" t="s">
        <v>6</v>
      </c>
      <c r="B3" t="str">
        <f t="shared" ref="B3:B9" si="0">AddressGeocode(A3)</f>
        <v>43.6425100,-79.3870380</v>
      </c>
      <c r="C3" t="str">
        <f t="shared" ref="C3:C9" si="1">TRIM(LEFT(B3,FIND(",",B3)-1))</f>
        <v>43.6425100</v>
      </c>
      <c r="D3" t="str">
        <f t="shared" ref="D3:D9" si="2">TRIM(RIGHT(B3,LEN(B3)-FIND(",",B3)))</f>
        <v>-79.3870380</v>
      </c>
      <c r="E3" t="str">
        <f t="shared" ref="E3:E9" si="3">ReverseGeocode(C3, D3)</f>
        <v>CN Tower, Toronto, ON M5V, Canada</v>
      </c>
    </row>
    <row r="4" spans="1:5" x14ac:dyDescent="0.25">
      <c r="A4" t="s">
        <v>7</v>
      </c>
      <c r="B4" t="str">
        <f t="shared" si="0"/>
        <v>41.8788862,-87.6358810</v>
      </c>
      <c r="C4" t="str">
        <f t="shared" si="1"/>
        <v>41.8788862</v>
      </c>
      <c r="D4" t="str">
        <f t="shared" si="2"/>
        <v>-87.6358810</v>
      </c>
      <c r="E4" t="str">
        <f t="shared" si="3"/>
        <v>Willis Tower Skydeck, 233 S Wacker Dr, Chicago, IL 60606, USA</v>
      </c>
    </row>
    <row r="5" spans="1:5" x14ac:dyDescent="0.25">
      <c r="A5" t="s">
        <v>8</v>
      </c>
      <c r="B5" t="str">
        <f t="shared" si="0"/>
        <v>-33.8565361,151.2149964</v>
      </c>
      <c r="C5" t="str">
        <f t="shared" si="1"/>
        <v>-33.8565361</v>
      </c>
      <c r="D5" t="str">
        <f t="shared" si="2"/>
        <v>151.2149964</v>
      </c>
      <c r="E5" t="str">
        <f t="shared" si="3"/>
        <v>Sydney NSW 2000, Australia</v>
      </c>
    </row>
    <row r="6" spans="1:5" x14ac:dyDescent="0.25">
      <c r="A6" t="s">
        <v>9</v>
      </c>
      <c r="B6" t="str">
        <f t="shared" si="0"/>
        <v>47.6205379,-122.3491348</v>
      </c>
      <c r="C6" t="str">
        <f t="shared" si="1"/>
        <v>47.6205379</v>
      </c>
      <c r="D6" t="str">
        <f t="shared" si="2"/>
        <v>-122.3491348</v>
      </c>
      <c r="E6" t="str">
        <f t="shared" si="3"/>
        <v>Space Needle, Seattle, WA 98109, USA</v>
      </c>
    </row>
    <row r="7" spans="1:5" x14ac:dyDescent="0.25">
      <c r="A7" t="s">
        <v>10</v>
      </c>
      <c r="B7" t="str">
        <f t="shared" si="0"/>
        <v>22.2792492,114.1615663</v>
      </c>
      <c r="C7" t="str">
        <f t="shared" si="1"/>
        <v>22.2792492</v>
      </c>
      <c r="D7" t="str">
        <f t="shared" si="2"/>
        <v>114.1615663</v>
      </c>
      <c r="E7" t="str">
        <f t="shared" si="3"/>
        <v>Bank Of China Tower, 1 Garden Rd, Central, Hong Kong</v>
      </c>
    </row>
    <row r="8" spans="1:5" x14ac:dyDescent="0.25">
      <c r="A8" t="s">
        <v>11</v>
      </c>
      <c r="B8" t="str">
        <f t="shared" si="0"/>
        <v>38.9990381,125.7514363</v>
      </c>
      <c r="C8" t="str">
        <f t="shared" si="1"/>
        <v>38.9990381</v>
      </c>
      <c r="D8" t="str">
        <f t="shared" si="2"/>
        <v>125.7514363</v>
      </c>
      <c r="E8" t="str">
        <f t="shared" si="3"/>
        <v>Yanggakdo International Hotel, Pyongyang, North Korea</v>
      </c>
    </row>
    <row r="9" spans="1:5" x14ac:dyDescent="0.25">
      <c r="A9" t="s">
        <v>12</v>
      </c>
      <c r="B9" t="str">
        <f t="shared" si="0"/>
        <v>32.7459420,-97.0957095</v>
      </c>
      <c r="C9" t="str">
        <f t="shared" si="1"/>
        <v>32.7459420</v>
      </c>
      <c r="D9" t="str">
        <f t="shared" si="2"/>
        <v>-97.0957095</v>
      </c>
      <c r="E9" t="str">
        <f t="shared" si="3"/>
        <v>Cowboys Way, Arlington, TX 76011, USA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 Dowd</dc:creator>
  <cp:lastModifiedBy>Ted Dowd</cp:lastModifiedBy>
  <dcterms:created xsi:type="dcterms:W3CDTF">2015-12-24T23:34:44Z</dcterms:created>
  <dcterms:modified xsi:type="dcterms:W3CDTF">2016-10-14T21:05:32Z</dcterms:modified>
</cp:coreProperties>
</file>