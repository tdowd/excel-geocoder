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431" codeName="{B1203076-2D4D-A25B-A398-973B695A806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dowd\Documents\Excel Models\excel-geocoder-master\excel-geocoder-master\"/>
    </mc:Choice>
  </mc:AlternateContent>
  <bookViews>
    <workbookView xWindow="0" yWindow="0" windowWidth="21570" windowHeight="7980"/>
  </bookViews>
  <sheets>
    <sheet name="sample" sheetId="1" r:id="rId1"/>
  </sheets>
  <functionGroups builtInGroupCount="18"/>
  <calcPr calcId="171027"/>
</workbook>
</file>

<file path=xl/calcChain.xml><?xml version="1.0" encoding="utf-8"?>
<calcChain xmlns="http://schemas.openxmlformats.org/spreadsheetml/2006/main">
  <c r="E2" i="1" l="1"/>
  <c r="B7" i="1"/>
  <c r="B5" i="1"/>
  <c r="B4" i="1"/>
  <c r="B2" i="1"/>
  <c r="B6" i="1"/>
  <c r="B3" i="1"/>
  <c r="D4" i="1" l="1"/>
  <c r="C4" i="1"/>
  <c r="D5" i="1"/>
  <c r="C5" i="1"/>
  <c r="D7" i="1"/>
  <c r="C7" i="1"/>
  <c r="C3" i="1"/>
  <c r="D3" i="1"/>
  <c r="D2" i="1"/>
  <c r="C2" i="1"/>
  <c r="C6" i="1"/>
  <c r="D6" i="1"/>
  <c r="E5" i="1"/>
  <c r="E3" i="1"/>
  <c r="E6" i="1"/>
  <c r="E4" i="1"/>
  <c r="E7" i="1"/>
</calcChain>
</file>

<file path=xl/sharedStrings.xml><?xml version="1.0" encoding="utf-8"?>
<sst xmlns="http://schemas.openxmlformats.org/spreadsheetml/2006/main" count="11" uniqueCount="10">
  <si>
    <t>Address</t>
  </si>
  <si>
    <t>Geocode</t>
  </si>
  <si>
    <t>Latitude</t>
  </si>
  <si>
    <t>Longitude</t>
  </si>
  <si>
    <t>350 5th Ave, New York, NY 10118</t>
  </si>
  <si>
    <t>233 S Wacker Dr, Chicago, IL 60606</t>
  </si>
  <si>
    <t>400 Broad St, Seattle, WA 98109</t>
  </si>
  <si>
    <t>1001 Rose Bowl Dr, Pasadena, CA 91103</t>
  </si>
  <si>
    <t xml:space="preserve">4790 W 16th St, Indianapolis, IN 46222
</t>
  </si>
  <si>
    <t>Cēsu novads, Cēsis, Bērzaines iela 34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</si>
</sst>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7"/>
  <sheetViews>
    <sheetView tabSelected="1" workbookViewId="0"/>
  </sheetViews>
  <sheetFormatPr defaultRowHeight="15" x14ac:dyDescent="0.25"/>
  <cols>
    <col min="1" max="1" width="34.28515625" bestFit="1" customWidth="1"/>
    <col min="2" max="2" width="51" bestFit="1" customWidth="1"/>
    <col min="3" max="3" width="17.7109375" bestFit="1" customWidth="1"/>
    <col min="4" max="4" width="33.42578125" bestFit="1" customWidth="1"/>
    <col min="5" max="5" width="52.5703125" bestFit="1" customWidth="1"/>
  </cols>
  <sheetData>
    <row r="1" spans="1:5" x14ac:dyDescent="0.25">
      <c r="A1" t="s">
        <v>0</v>
      </c>
      <c r="B1" t="s">
        <v>1</v>
      </c>
      <c r="C1" t="s">
        <v>2</v>
      </c>
      <c r="D1" t="s">
        <v>3</v>
      </c>
      <c r="E1" t="s">
        <v>0</v>
      </c>
    </row>
    <row r="2" spans="1:5" x14ac:dyDescent="0.25">
      <c r="A2" t="s">
        <v>4</v>
      </c>
      <c r="B2" t="str">
        <f>AddressGeocode(A2)</f>
        <v>40.7484799,-73.9854245</v>
      </c>
      <c r="C2" t="str">
        <f t="shared" ref="C2:C7" si="0">LEFT(B2,(FIND(",",B2,1)-1))</f>
        <v>40.7484799</v>
      </c>
      <c r="D2" t="str">
        <f t="shared" ref="D2:D7" si="1">RIGHT(B2,LEN(B2)-FIND(",",B2))</f>
        <v>-73.9854245</v>
      </c>
      <c r="E2" t="str">
        <f>ReverseGeocode(C2,D2)</f>
        <v>Empire State Building, New York, NY 10001, USA</v>
      </c>
    </row>
    <row r="3" spans="1:5" x14ac:dyDescent="0.25">
      <c r="A3" t="s">
        <v>5</v>
      </c>
      <c r="B3" t="str">
        <f t="shared" ref="B3:B6" si="2">AddressGeocode(A3)</f>
        <v>41.8788761,-87.6359150</v>
      </c>
      <c r="C3" t="str">
        <f t="shared" si="0"/>
        <v>41.8788761</v>
      </c>
      <c r="D3" t="str">
        <f t="shared" si="1"/>
        <v>-87.6359150</v>
      </c>
      <c r="E3" t="str">
        <f t="shared" ref="E3:E7" si="3">ReverseGeocode(C3,D3)</f>
        <v>Willis Tower Skydeck, 233 S Wacker Dr, Chicago, IL 60606, USA</v>
      </c>
    </row>
    <row r="4" spans="1:5" x14ac:dyDescent="0.25">
      <c r="A4" t="s">
        <v>8</v>
      </c>
      <c r="B4" t="str">
        <f>AddressGeocode(A4)</f>
        <v>39.7903146,-86.2336611</v>
      </c>
      <c r="C4" t="str">
        <f t="shared" si="0"/>
        <v>39.7903146</v>
      </c>
      <c r="D4" t="str">
        <f t="shared" si="1"/>
        <v>-86.2336611</v>
      </c>
      <c r="E4" t="str">
        <f t="shared" si="3"/>
        <v>4790 W 16th St, Indianapolis, IN 46222, USA</v>
      </c>
    </row>
    <row r="5" spans="1:5" x14ac:dyDescent="0.25">
      <c r="A5" t="s">
        <v>6</v>
      </c>
      <c r="B5" t="str">
        <f>AddressGeocode(A5)</f>
        <v>47.6204232,-122.3493553</v>
      </c>
      <c r="C5" t="str">
        <f t="shared" si="0"/>
        <v>47.6204232</v>
      </c>
      <c r="D5" t="str">
        <f t="shared" si="1"/>
        <v>-122.3493553</v>
      </c>
      <c r="E5" t="str">
        <f t="shared" si="3"/>
        <v>Space Needle, 400 Broad St, Seattle, WA 98109, USA</v>
      </c>
    </row>
    <row r="6" spans="1:5" x14ac:dyDescent="0.25">
      <c r="A6" t="s">
        <v>7</v>
      </c>
      <c r="B6" t="str">
        <f t="shared" si="2"/>
        <v>34.1606364,-118.1674865</v>
      </c>
      <c r="C6" t="str">
        <f t="shared" si="0"/>
        <v>34.1606364</v>
      </c>
      <c r="D6" t="str">
        <f t="shared" si="1"/>
        <v>-118.1674865</v>
      </c>
      <c r="E6" t="str">
        <f t="shared" si="3"/>
        <v>1001 Rose Bowl Dr, Pasadena, CA 91103, USA</v>
      </c>
    </row>
    <row r="7" spans="1:5" x14ac:dyDescent="0.25">
      <c r="A7" t="s">
        <v>9</v>
      </c>
      <c r="B7" t="str">
        <f>AddressGeocode(A7)</f>
        <v>57.3124255,25.2481863</v>
      </c>
      <c r="C7" t="str">
        <f t="shared" si="0"/>
        <v>57.3124255</v>
      </c>
      <c r="D7" t="str">
        <f t="shared" si="1"/>
        <v>25.2481863</v>
      </c>
      <c r="E7" t="str">
        <f t="shared" si="3"/>
        <v>Bērzaines iela 34, Cēsis, Cēsu pilsēta, LV-4101, Latvia</v>
      </c>
    </row>
  </sheetData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sample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Ted Dowd</dc:creator>
  <cp:lastModifiedBy>Ted Dowd</cp:lastModifiedBy>
  <dcterms:created xsi:type="dcterms:W3CDTF">2017-09-04T21:24:35Z</dcterms:created>
  <dcterms:modified xsi:type="dcterms:W3CDTF">2018-07-02T14:15:57Z</dcterms:modified>
</cp:coreProperties>
</file>